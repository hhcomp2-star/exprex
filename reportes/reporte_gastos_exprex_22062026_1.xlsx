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<sst xmlns="http://schemas.openxmlformats.org/spreadsheetml/2006/main" count="65" uniqueCount="32">
  <si>
    <t xml:space="preserve">Fecha</t>
  </si>
  <si>
    <t xml:space="preserve">Placa</t>
  </si>
  <si>
    <t xml:space="preserve">Categoría</t>
  </si>
  <si>
    <t xml:space="preserve">Monto ($)</t>
  </si>
  <si>
    <t xml:space="preserve">2026-05-11</t>
  </si>
  <si>
    <t xml:space="preserve">A84BL3D</t>
  </si>
  <si>
    <t xml:space="preserve">Mantenimiento</t>
  </si>
  <si>
    <t xml:space="preserve">2026-05-14</t>
  </si>
  <si>
    <t xml:space="preserve">Estacionamiento</t>
  </si>
  <si>
    <t xml:space="preserve">2026-05-15</t>
  </si>
  <si>
    <t xml:space="preserve">2026-05-22</t>
  </si>
  <si>
    <t xml:space="preserve">Impuestos</t>
  </si>
  <si>
    <t xml:space="preserve">2026-05-30</t>
  </si>
  <si>
    <t xml:space="preserve">2026-06-06</t>
  </si>
  <si>
    <t xml:space="preserve">2026-06-13</t>
  </si>
  <si>
    <t xml:space="preserve">2026-06-14</t>
  </si>
  <si>
    <t xml:space="preserve">Reportado Por</t>
  </si>
  <si>
    <t xml:space="preserve">Km Odómetro</t>
  </si>
  <si>
    <t xml:space="preserve">Litros</t>
  </si>
  <si>
    <t xml:space="preserve">Costo $</t>
  </si>
  <si>
    <t xml:space="preserve">Tasa BCV</t>
  </si>
  <si>
    <t xml:space="preserve">Costo Bs</t>
  </si>
  <si>
    <t xml:space="preserve">Estación</t>
  </si>
  <si>
    <t xml:space="preserve">2026-06-22</t>
  </si>
  <si>
    <t xml:space="preserve">Edwing Urribarrí</t>
  </si>
  <si>
    <t xml:space="preserve">Quinta Crespo</t>
  </si>
  <si>
    <t xml:space="preserve">2026-06-18</t>
  </si>
  <si>
    <t xml:space="preserve">La Paz</t>
  </si>
  <si>
    <t xml:space="preserve">2026-06-16</t>
  </si>
  <si>
    <t xml:space="preserve">Rubro</t>
  </si>
  <si>
    <t xml:space="preserve">Monto</t>
  </si>
  <si>
    <t xml:space="preserve">Combustible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</si>
</sst>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lang="es-VE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Sheet1!$A$25:$A$28</c:f>
              <c:strCache>
                <c:ptCount val="4"/>
                <c:pt idx="0">
                  <c:v>Mantenimiento</c:v>
                </c:pt>
                <c:pt idx="1">
                  <c:v>Estacionamiento</c:v>
                </c:pt>
                <c:pt idx="2">
                  <c:v>Impuestos</c:v>
                </c:pt>
                <c:pt idx="3">
                  <c:v>Combustible</c:v>
                </c:pt>
              </c:strCache>
            </c:strRef>
          </c:cat>
          <c:val>
            <c:numRef>
              <c:f>Sheet1!$B$25:$B$28</c:f>
              <c:numCache>
                <c:formatCode>General</c:formatCode>
                <c:ptCount val="4"/>
                <c:pt idx="0">
                  <c:v>325</c:v>
                </c:pt>
                <c:pt idx="1">
                  <c:v>90</c:v>
                </c:pt>
                <c:pt idx="2">
                  <c:v>125</c:v>
                </c:pt>
                <c:pt idx="3">
                  <c:v>60</c:v>
                </c:pt>
              </c:numCache>
            </c:numRef>
          </c:val>
        </c:ser>
        <c:gapWidth val="100"/>
        <c:overlap val="0"/>
        <c:axId val="84318751"/>
        <c:axId val="17515811"/>
      </c:barChart>
      <c:catAx>
        <c:axId val="84318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es-VE" sz="1000" spc="-1" strike="noStrike">
                <a:latin typeface="Arial"/>
              </a:defRPr>
            </a:pPr>
          </a:p>
        </c:txPr>
        <c:crossAx val="17515811"/>
        <c:crosses val="autoZero"/>
        <c:auto val="1"/>
        <c:lblAlgn val="ctr"/>
        <c:lblOffset val="100"/>
        <c:noMultiLvlLbl val="0"/>
      </c:catAx>
      <c:valAx>
        <c:axId val="175158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es-VE" sz="1000" spc="-1" strike="noStrike">
                <a:latin typeface="Arial"/>
              </a:defRPr>
            </a:pPr>
          </a:p>
        </c:txPr>
        <c:crossAx val="8431875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lang="es-VE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1170000</xdr:colOff>
      <xdr:row>22</xdr:row>
      <xdr:rowOff>121680</xdr:rowOff>
    </xdr:from>
    <xdr:to>
      <xdr:col>10</xdr:col>
      <xdr:colOff>281160</xdr:colOff>
      <xdr:row>39</xdr:row>
      <xdr:rowOff>122760</xdr:rowOff>
    </xdr:to>
    <xdr:graphicFrame>
      <xdr:nvGraphicFramePr>
        <xdr:cNvPr id="0" name=""/>
        <xdr:cNvGraphicFramePr/>
      </xdr:nvGraphicFramePr>
      <xdr:xfrm>
        <a:off x="3265560" y="4312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8" activeCellId="0" sqref="N2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.04"/>
    <col collapsed="false" customWidth="true" hidden="false" outlineLevel="0" max="3" min="3" style="0" width="15.0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40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s">
        <v>6</v>
      </c>
      <c r="D3" s="0" t="n">
        <v>12</v>
      </c>
    </row>
    <row r="4" customFormat="false" ht="15" hidden="false" customHeight="false" outlineLevel="0" collapsed="false">
      <c r="A4" s="0" t="s">
        <v>7</v>
      </c>
      <c r="B4" s="0" t="s">
        <v>5</v>
      </c>
      <c r="C4" s="0" t="s">
        <v>8</v>
      </c>
      <c r="D4" s="0" t="n">
        <v>45</v>
      </c>
    </row>
    <row r="5" customFormat="false" ht="15" hidden="false" customHeight="false" outlineLevel="0" collapsed="false">
      <c r="A5" s="0" t="s">
        <v>9</v>
      </c>
      <c r="B5" s="0" t="s">
        <v>5</v>
      </c>
      <c r="C5" s="0" t="s">
        <v>6</v>
      </c>
      <c r="D5" s="0" t="n">
        <v>60</v>
      </c>
    </row>
    <row r="6" customFormat="false" ht="15" hidden="false" customHeight="false" outlineLevel="0" collapsed="false">
      <c r="A6" s="0" t="s">
        <v>10</v>
      </c>
      <c r="B6" s="0" t="s">
        <v>5</v>
      </c>
      <c r="C6" s="0" t="s">
        <v>11</v>
      </c>
      <c r="D6" s="0" t="n">
        <v>125</v>
      </c>
    </row>
    <row r="7" customFormat="false" ht="15" hidden="false" customHeight="false" outlineLevel="0" collapsed="false">
      <c r="A7" s="0" t="s">
        <v>12</v>
      </c>
      <c r="B7" s="0" t="s">
        <v>5</v>
      </c>
      <c r="C7" s="0" t="s">
        <v>6</v>
      </c>
      <c r="D7" s="0" t="n">
        <v>81</v>
      </c>
    </row>
    <row r="8" customFormat="false" ht="15" hidden="false" customHeight="false" outlineLevel="0" collapsed="false">
      <c r="A8" s="0" t="s">
        <v>12</v>
      </c>
      <c r="B8" s="0" t="s">
        <v>5</v>
      </c>
      <c r="C8" s="0" t="s">
        <v>6</v>
      </c>
      <c r="D8" s="0" t="n">
        <v>12</v>
      </c>
    </row>
    <row r="9" customFormat="false" ht="15" hidden="false" customHeight="false" outlineLevel="0" collapsed="false">
      <c r="A9" s="0" t="s">
        <v>13</v>
      </c>
      <c r="B9" s="0" t="s">
        <v>5</v>
      </c>
      <c r="C9" s="0" t="s">
        <v>6</v>
      </c>
      <c r="D9" s="0" t="n">
        <v>60</v>
      </c>
    </row>
    <row r="10" customFormat="false" ht="15" hidden="false" customHeight="false" outlineLevel="0" collapsed="false">
      <c r="A10" s="0" t="s">
        <v>14</v>
      </c>
      <c r="B10" s="0" t="s">
        <v>5</v>
      </c>
      <c r="C10" s="0" t="s">
        <v>6</v>
      </c>
      <c r="D10" s="0" t="n">
        <v>60</v>
      </c>
    </row>
    <row r="11" customFormat="false" ht="15" hidden="false" customHeight="false" outlineLevel="0" collapsed="false">
      <c r="A11" s="0" t="s">
        <v>15</v>
      </c>
      <c r="B11" s="0" t="s">
        <v>5</v>
      </c>
      <c r="C11" s="0" t="s">
        <v>8</v>
      </c>
      <c r="D11" s="0" t="n">
        <v>45</v>
      </c>
    </row>
    <row r="17" customFormat="false" ht="15" hidden="false" customHeight="false" outlineLevel="0" collapsed="false">
      <c r="A17" s="0" t="s">
        <v>0</v>
      </c>
      <c r="B17" s="0" t="s">
        <v>1</v>
      </c>
      <c r="C17" s="0" t="s">
        <v>16</v>
      </c>
      <c r="D17" s="0" t="s">
        <v>17</v>
      </c>
      <c r="E17" s="0" t="s">
        <v>18</v>
      </c>
      <c r="F17" s="0" t="s">
        <v>19</v>
      </c>
      <c r="G17" s="0" t="s">
        <v>20</v>
      </c>
      <c r="H17" s="0" t="s">
        <v>21</v>
      </c>
      <c r="I17" s="0" t="s">
        <v>22</v>
      </c>
    </row>
    <row r="18" customFormat="false" ht="15" hidden="false" customHeight="false" outlineLevel="0" collapsed="false">
      <c r="A18" s="0" t="s">
        <v>23</v>
      </c>
      <c r="B18" s="0" t="s">
        <v>5</v>
      </c>
      <c r="C18" s="0" t="s">
        <v>24</v>
      </c>
      <c r="D18" s="0" t="n">
        <v>1000000</v>
      </c>
      <c r="E18" s="0" t="n">
        <v>60</v>
      </c>
      <c r="F18" s="0" t="n">
        <v>30</v>
      </c>
      <c r="G18" s="0" t="n">
        <v>612.4332</v>
      </c>
      <c r="H18" s="0" t="n">
        <v>18372.996</v>
      </c>
      <c r="I18" s="0" t="s">
        <v>25</v>
      </c>
    </row>
    <row r="19" customFormat="false" ht="15" hidden="false" customHeight="false" outlineLevel="0" collapsed="false">
      <c r="A19" s="0" t="s">
        <v>26</v>
      </c>
      <c r="B19" s="0" t="s">
        <v>5</v>
      </c>
      <c r="C19" s="0" t="s">
        <v>24</v>
      </c>
      <c r="D19" s="0" t="n">
        <v>10000</v>
      </c>
      <c r="E19" s="0" t="n">
        <v>0</v>
      </c>
      <c r="F19" s="0" t="n">
        <v>0</v>
      </c>
      <c r="G19" s="0" t="n">
        <v>0</v>
      </c>
      <c r="H19" s="0" t="n">
        <v>0</v>
      </c>
      <c r="I19" s="0" t="s">
        <v>25</v>
      </c>
    </row>
    <row r="20" customFormat="false" ht="15" hidden="false" customHeight="false" outlineLevel="0" collapsed="false">
      <c r="A20" s="0" t="s">
        <v>26</v>
      </c>
      <c r="B20" s="0" t="s">
        <v>5</v>
      </c>
      <c r="C20" s="0" t="s">
        <v>24</v>
      </c>
      <c r="D20" s="0" t="n">
        <v>230000</v>
      </c>
      <c r="E20" s="0" t="n">
        <v>0</v>
      </c>
      <c r="F20" s="0" t="n">
        <v>0</v>
      </c>
      <c r="G20" s="0" t="n">
        <v>0</v>
      </c>
      <c r="H20" s="0" t="n">
        <v>0</v>
      </c>
      <c r="I20" s="0" t="s">
        <v>27</v>
      </c>
    </row>
    <row r="21" customFormat="false" ht="15" hidden="false" customHeight="false" outlineLevel="0" collapsed="false">
      <c r="A21" s="0" t="s">
        <v>28</v>
      </c>
      <c r="B21" s="0" t="s">
        <v>5</v>
      </c>
      <c r="C21" s="0" t="s">
        <v>24</v>
      </c>
      <c r="D21" s="0" t="n">
        <v>10000</v>
      </c>
      <c r="E21" s="0" t="n">
        <v>60</v>
      </c>
      <c r="F21" s="0" t="n">
        <v>30</v>
      </c>
      <c r="G21" s="0" t="n">
        <v>592.51</v>
      </c>
      <c r="H21" s="0" t="n">
        <v>17775.3</v>
      </c>
      <c r="I21" s="0" t="s">
        <v>25</v>
      </c>
    </row>
    <row r="22" customFormat="false" ht="15" hidden="false" customHeight="false" outlineLevel="0" collapsed="false">
      <c r="F22" s="0" t="n">
        <f aca="false">SUM(F18:F21)</f>
        <v>60</v>
      </c>
    </row>
    <row r="24" customFormat="false" ht="15" hidden="false" customHeight="false" outlineLevel="0" collapsed="false">
      <c r="A24" s="0" t="s">
        <v>29</v>
      </c>
      <c r="B24" s="0" t="s">
        <v>30</v>
      </c>
    </row>
    <row r="25" customFormat="false" ht="15" hidden="false" customHeight="false" outlineLevel="0" collapsed="false">
      <c r="A25" s="0" t="s">
        <v>6</v>
      </c>
      <c r="B25" s="0" t="n">
        <f aca="false">D2+D3+D5+D7+D8+D9+D10</f>
        <v>325</v>
      </c>
    </row>
    <row r="26" customFormat="false" ht="15" hidden="false" customHeight="false" outlineLevel="0" collapsed="false">
      <c r="A26" s="0" t="s">
        <v>8</v>
      </c>
      <c r="B26" s="0" t="n">
        <f aca="false">D4+D11</f>
        <v>90</v>
      </c>
    </row>
    <row r="27" customFormat="false" ht="15" hidden="false" customHeight="false" outlineLevel="0" collapsed="false">
      <c r="A27" s="0" t="s">
        <v>11</v>
      </c>
      <c r="B27" s="0" t="n">
        <f aca="false">D6</f>
        <v>125</v>
      </c>
    </row>
    <row r="28" customFormat="false" ht="15" hidden="false" customHeight="false" outlineLevel="0" collapsed="false">
      <c r="A28" s="0" t="s">
        <v>31</v>
      </c>
      <c r="B28" s="0" t="n">
        <f aca="false">F18+F21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2026-06-23T03:15:32Z</dcterms:created>
  <dc:creator>openpyxl</dc:creator>
  <dc:description/>
  <dc:language>es-VE</dc:language>
  <cp:lastModifiedBy>Héctor Hernández</cp:lastModifiedBy>
  <dcterms:modified xsi:type="dcterms:W3CDTF">2026-06-22T23:38:20Z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